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<sst xmlns="http://schemas.openxmlformats.org/spreadsheetml/2006/main" count="197" uniqueCount="97">
  <si>
    <t>Placement Tracker Summary</t>
  </si>
  <si>
    <t>Total Students</t>
  </si>
  <si>
    <t>Placement Rate</t>
  </si>
  <si>
    <t>Average Salary (LPA)</t>
  </si>
  <si>
    <t>Student ID</t>
  </si>
  <si>
    <t>Name</t>
  </si>
  <si>
    <t>Gender</t>
  </si>
  <si>
    <t>Location</t>
  </si>
  <si>
    <t>Specialization</t>
  </si>
  <si>
    <t>10th %</t>
  </si>
  <si>
    <t>12th %</t>
  </si>
  <si>
    <t>CGPA</t>
  </si>
  <si>
    <t>Internships</t>
  </si>
  <si>
    <t>Backlogs</t>
  </si>
  <si>
    <t>Comm Skills</t>
  </si>
  <si>
    <t>Tech Skills</t>
  </si>
  <si>
    <t>Placement Status</t>
  </si>
  <si>
    <t>STU001</t>
  </si>
  <si>
    <t>Aarav Patel</t>
  </si>
  <si>
    <t>Male</t>
  </si>
  <si>
    <t>Mumbai</t>
  </si>
  <si>
    <t>Computer Science</t>
  </si>
  <si>
    <t>Not Placed</t>
  </si>
  <si>
    <t>STU002</t>
  </si>
  <si>
    <t>Priya Sharma</t>
  </si>
  <si>
    <t>Female</t>
  </si>
  <si>
    <t>Delhi</t>
  </si>
  <si>
    <t>Information Technology</t>
  </si>
  <si>
    <t>STU003</t>
  </si>
  <si>
    <t>Rohan Gupta</t>
  </si>
  <si>
    <t>Bangalore</t>
  </si>
  <si>
    <t>Electronics</t>
  </si>
  <si>
    <t>STU004</t>
  </si>
  <si>
    <t>Ananya Singh</t>
  </si>
  <si>
    <t>Chennai</t>
  </si>
  <si>
    <t>STU005</t>
  </si>
  <si>
    <t>Vikram Reddy</t>
  </si>
  <si>
    <t>Hyderabad</t>
  </si>
  <si>
    <t>Mechanical</t>
  </si>
  <si>
    <t>STU006</t>
  </si>
  <si>
    <t>Neha Desai</t>
  </si>
  <si>
    <t>Pune</t>
  </si>
  <si>
    <t>Civil</t>
  </si>
  <si>
    <t>STU007</t>
  </si>
  <si>
    <t>Rahul Verma</t>
  </si>
  <si>
    <t>STU008</t>
  </si>
  <si>
    <t>Sneha Iyer</t>
  </si>
  <si>
    <t>STU009</t>
  </si>
  <si>
    <t>Amit Kumar</t>
  </si>
  <si>
    <t>STU010</t>
  </si>
  <si>
    <t>Pooja Joshi</t>
  </si>
  <si>
    <t>STU011</t>
  </si>
  <si>
    <t>Karan Mehta</t>
  </si>
  <si>
    <t>Ahmedabad</t>
  </si>
  <si>
    <t>STU012</t>
  </si>
  <si>
    <t>Riya Bhatia</t>
  </si>
  <si>
    <t>STU013</t>
  </si>
  <si>
    <t>Aditya Rao</t>
  </si>
  <si>
    <t>STU014</t>
  </si>
  <si>
    <t>Kavya Nair</t>
  </si>
  <si>
    <t>Kochi</t>
  </si>
  <si>
    <t>STU015</t>
  </si>
  <si>
    <t>Manish Singh</t>
  </si>
  <si>
    <t>Lucknow</t>
  </si>
  <si>
    <t>STU016</t>
  </si>
  <si>
    <t>Shreya Das</t>
  </si>
  <si>
    <t>Kolkata</t>
  </si>
  <si>
    <t>STU017</t>
  </si>
  <si>
    <t>Yash Agarwal</t>
  </si>
  <si>
    <t>Jaipur</t>
  </si>
  <si>
    <t>STU018</t>
  </si>
  <si>
    <t>Megha Kapoor</t>
  </si>
  <si>
    <t>STU019</t>
  </si>
  <si>
    <t>Arjun Menon</t>
  </si>
  <si>
    <t>STU020</t>
  </si>
  <si>
    <t>Nidhi Jain</t>
  </si>
  <si>
    <t>STU021</t>
  </si>
  <si>
    <t>Siddharth Bose</t>
  </si>
  <si>
    <t>STU022</t>
  </si>
  <si>
    <t>Anjali Pillai</t>
  </si>
  <si>
    <t>STU023</t>
  </si>
  <si>
    <t>Varun Dhawan</t>
  </si>
  <si>
    <t>STU024</t>
  </si>
  <si>
    <t>Swati Mishra</t>
  </si>
  <si>
    <t>STU025</t>
  </si>
  <si>
    <t>Rajat Sharma</t>
  </si>
  <si>
    <t>Chandigarh</t>
  </si>
  <si>
    <t>STU026</t>
  </si>
  <si>
    <t>Divya Reddy</t>
  </si>
  <si>
    <t>STU027</t>
  </si>
  <si>
    <t>Harsha Vardhan</t>
  </si>
  <si>
    <t>STU028</t>
  </si>
  <si>
    <t>Ayesha Khan</t>
  </si>
  <si>
    <t>STU029</t>
  </si>
  <si>
    <t>Pranav Joshi</t>
  </si>
  <si>
    <t>STU030</t>
  </si>
  <si>
    <t>Simran Kaur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</si>
</sst>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₹&quot;#,##0.00"/>
    <numFmt numFmtId="165" formatCode="0.00&quot;%&quot;"/>
  </numFmts>
  <fonts count="6">
    <font>
      <sz val="10.0"/>
      <color rgb="FF000000"/>
      <name val="Arial"/>
      <scheme val="minor"/>
    </font>
    <font>
      <b/>
      <sz val="14.0"/>
      <color rgb="FFFFFFFF"/>
      <name val="Roboto"/>
    </font>
    <font>
      <sz val="10.0"/>
      <color theme="1"/>
      <name val="Roboto"/>
    </font>
    <font>
      <b/>
      <sz val="11.0"/>
      <color rgb="FF3E4658"/>
      <name val="Roboto"/>
    </font>
    <font>
      <b/>
      <sz val="11.0"/>
      <color theme="1"/>
      <name val="Roboto"/>
    </font>
    <font>
      <b/>
      <sz val="11.0"/>
      <color rgb="FFFFFFF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  <fill>
      <patternFill patternType="solid">
        <fgColor rgb="FFDBE1F8"/>
        <bgColor rgb="FFDBE1F8"/>
      </patternFill>
    </fill>
    <fill>
      <patternFill patternType="solid">
        <fgColor rgb="FFECECF4"/>
        <bgColor rgb="FFECECF4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0" fillId="3" fontId="3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horizontal="center" vertical="center"/>
    </xf>
    <xf borderId="0" fillId="4" fontId="4" numFmtId="10" xfId="0" applyAlignment="1" applyFill="1" applyFont="1" applyNumberFormat="1">
      <alignment horizontal="center" vertical="center"/>
    </xf>
    <xf borderId="0" fillId="4" fontId="4" numFmtId="164" xfId="0" applyAlignment="1" applyFill="1" applyFont="1" applyNumberFormat="1">
      <alignment horizontal="center" vertical="center"/>
    </xf>
    <xf borderId="0" fillId="2" fontId="5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165" xfId="0" applyAlignment="1" applyFont="1" applyNumberFormat="1">
      <alignment readingOrder="0" vertical="center"/>
    </xf>
    <xf borderId="0" fillId="0" fontId="2" numFmtId="2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O35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1.63"/>
    <col customWidth="1" min="2" max="2" width="14.25"/>
    <col customWidth="1" min="3" max="3" width="18.5"/>
    <col customWidth="1" min="4" max="4" width="9.75"/>
    <col customWidth="1" min="5" max="5" width="18.13"/>
    <col customWidth="1" min="6" max="7" width="6.5"/>
    <col customWidth="1" min="8" max="8" width="5.75"/>
    <col customWidth="1" min="9" max="9" width="10.38"/>
    <col customWidth="1" min="10" max="10" width="8.63"/>
    <col customWidth="1" min="11" max="11" width="11.38"/>
    <col customWidth="1" min="12" max="12" width="10.0"/>
    <col customWidth="1" min="13" max="13" width="15.75"/>
    <col customWidth="1" min="14" max="14" width="13.5"/>
    <col customWidth="1" min="15" max="15" width="11.25"/>
  </cols>
  <sheetData>
    <row r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1</v>
      </c>
      <c r="B2" s="3" t="s">
        <v>2</v>
      </c>
      <c r="C2" s="3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4">
        <f>COUNTA(A6:A35)</f>
        <v>30</v>
      </c>
      <c r="B3" s="5">
        <f>COUNTIF(M6:M35, "Placed")/COUNTA(M6:M35)</f>
        <v>0</v>
      </c>
      <c r="C3" s="6">
        <f>IFERROR(AVERAGE(O6:O35), 0)</f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/>
      <c r="O5" s="7"/>
    </row>
    <row r="6">
      <c r="A6" s="8" t="s">
        <v>17</v>
      </c>
      <c r="B6" s="8" t="s">
        <v>18</v>
      </c>
      <c r="C6" s="8" t="s">
        <v>19</v>
      </c>
      <c r="D6" s="8" t="s">
        <v>20</v>
      </c>
      <c r="E6" s="8" t="s">
        <v>21</v>
      </c>
      <c r="F6" s="9">
        <v>88.5</v>
      </c>
      <c r="G6" s="9">
        <v>85.0</v>
      </c>
      <c r="H6" s="10">
        <v>8.2</v>
      </c>
      <c r="I6" s="11">
        <v>1.0</v>
      </c>
      <c r="J6" s="11">
        <v>0.0</v>
      </c>
      <c r="K6" s="11">
        <v>4.0</v>
      </c>
      <c r="L6" s="11">
        <v>4.0</v>
      </c>
      <c r="M6" s="8" t="s">
        <v>22</v>
      </c>
      <c r="N6" s="8"/>
      <c r="O6" s="12"/>
    </row>
    <row r="7">
      <c r="A7" s="8" t="s">
        <v>23</v>
      </c>
      <c r="B7" s="8" t="s">
        <v>24</v>
      </c>
      <c r="C7" s="8" t="s">
        <v>25</v>
      </c>
      <c r="D7" s="8" t="s">
        <v>26</v>
      </c>
      <c r="E7" s="8" t="s">
        <v>27</v>
      </c>
      <c r="F7" s="9">
        <v>92.0</v>
      </c>
      <c r="G7" s="9">
        <v>90.5</v>
      </c>
      <c r="H7" s="10">
        <v>9.1</v>
      </c>
      <c r="I7" s="11">
        <v>2.0</v>
      </c>
      <c r="J7" s="11">
        <v>0.0</v>
      </c>
      <c r="K7" s="11">
        <v>5.0</v>
      </c>
      <c r="L7" s="11">
        <v>5.0</v>
      </c>
      <c r="M7" s="8" t="s">
        <v>22</v>
      </c>
      <c r="N7" s="8"/>
      <c r="O7" s="12"/>
    </row>
    <row r="8">
      <c r="A8" s="8" t="s">
        <v>28</v>
      </c>
      <c r="B8" s="8" t="s">
        <v>29</v>
      </c>
      <c r="C8" s="8" t="s">
        <v>19</v>
      </c>
      <c r="D8" s="8" t="s">
        <v>30</v>
      </c>
      <c r="E8" s="8" t="s">
        <v>31</v>
      </c>
      <c r="F8" s="9">
        <v>75.0</v>
      </c>
      <c r="G8" s="9">
        <v>72.0</v>
      </c>
      <c r="H8" s="10">
        <v>7.5</v>
      </c>
      <c r="I8" s="11">
        <v>0.0</v>
      </c>
      <c r="J8" s="11">
        <v>1.0</v>
      </c>
      <c r="K8" s="11">
        <v>3.0</v>
      </c>
      <c r="L8" s="11">
        <v>3.0</v>
      </c>
      <c r="M8" s="8" t="s">
        <v>22</v>
      </c>
      <c r="N8" s="13"/>
      <c r="O8" s="14"/>
    </row>
    <row r="9">
      <c r="A9" s="8" t="s">
        <v>32</v>
      </c>
      <c r="B9" s="8" t="s">
        <v>33</v>
      </c>
      <c r="C9" s="8" t="s">
        <v>25</v>
      </c>
      <c r="D9" s="8" t="s">
        <v>34</v>
      </c>
      <c r="E9" s="8" t="s">
        <v>21</v>
      </c>
      <c r="F9" s="9">
        <v>85.0</v>
      </c>
      <c r="G9" s="9">
        <v>84.5</v>
      </c>
      <c r="H9" s="10">
        <v>8.8</v>
      </c>
      <c r="I9" s="11">
        <v>1.0</v>
      </c>
      <c r="J9" s="11">
        <v>0.0</v>
      </c>
      <c r="K9" s="11">
        <v>4.0</v>
      </c>
      <c r="L9" s="11">
        <v>5.0</v>
      </c>
      <c r="M9" s="8" t="s">
        <v>22</v>
      </c>
      <c r="N9" s="8"/>
      <c r="O9" s="12"/>
    </row>
    <row r="10">
      <c r="A10" s="8" t="s">
        <v>35</v>
      </c>
      <c r="B10" s="8" t="s">
        <v>36</v>
      </c>
      <c r="C10" s="8" t="s">
        <v>19</v>
      </c>
      <c r="D10" s="8" t="s">
        <v>37</v>
      </c>
      <c r="E10" s="8" t="s">
        <v>38</v>
      </c>
      <c r="F10" s="9">
        <v>80.0</v>
      </c>
      <c r="G10" s="9">
        <v>78.0</v>
      </c>
      <c r="H10" s="10">
        <v>7.9</v>
      </c>
      <c r="I10" s="11">
        <v>1.0</v>
      </c>
      <c r="J10" s="11">
        <v>0.0</v>
      </c>
      <c r="K10" s="11">
        <v>3.0</v>
      </c>
      <c r="L10" s="11">
        <v>4.0</v>
      </c>
      <c r="M10" s="8" t="s">
        <v>22</v>
      </c>
      <c r="N10" s="8"/>
      <c r="O10" s="12"/>
    </row>
    <row r="11">
      <c r="A11" s="8" t="s">
        <v>39</v>
      </c>
      <c r="B11" s="8" t="s">
        <v>40</v>
      </c>
      <c r="C11" s="8" t="s">
        <v>25</v>
      </c>
      <c r="D11" s="8" t="s">
        <v>41</v>
      </c>
      <c r="E11" s="8" t="s">
        <v>42</v>
      </c>
      <c r="F11" s="9">
        <v>89.0</v>
      </c>
      <c r="G11" s="9">
        <v>87.0</v>
      </c>
      <c r="H11" s="10">
        <v>8.4</v>
      </c>
      <c r="I11" s="11">
        <v>0.0</v>
      </c>
      <c r="J11" s="11">
        <v>0.0</v>
      </c>
      <c r="K11" s="11">
        <v>4.0</v>
      </c>
      <c r="L11" s="11">
        <v>3.0</v>
      </c>
      <c r="M11" s="8" t="s">
        <v>22</v>
      </c>
      <c r="N11" s="8"/>
      <c r="O11" s="12"/>
    </row>
    <row r="12">
      <c r="A12" s="8" t="s">
        <v>43</v>
      </c>
      <c r="B12" s="8" t="s">
        <v>44</v>
      </c>
      <c r="C12" s="8" t="s">
        <v>19</v>
      </c>
      <c r="D12" s="8" t="s">
        <v>20</v>
      </c>
      <c r="E12" s="8" t="s">
        <v>21</v>
      </c>
      <c r="F12" s="9">
        <v>95.0</v>
      </c>
      <c r="G12" s="9">
        <v>93.0</v>
      </c>
      <c r="H12" s="10">
        <v>9.5</v>
      </c>
      <c r="I12" s="11">
        <v>2.0</v>
      </c>
      <c r="J12" s="11">
        <v>0.0</v>
      </c>
      <c r="K12" s="11">
        <v>5.0</v>
      </c>
      <c r="L12" s="11">
        <v>5.0</v>
      </c>
      <c r="M12" s="8" t="s">
        <v>22</v>
      </c>
      <c r="N12" s="8"/>
      <c r="O12" s="12"/>
    </row>
    <row r="13">
      <c r="A13" s="8" t="s">
        <v>45</v>
      </c>
      <c r="B13" s="8" t="s">
        <v>46</v>
      </c>
      <c r="C13" s="8" t="s">
        <v>25</v>
      </c>
      <c r="D13" s="8" t="s">
        <v>34</v>
      </c>
      <c r="E13" s="8" t="s">
        <v>27</v>
      </c>
      <c r="F13" s="9">
        <v>82.0</v>
      </c>
      <c r="G13" s="9">
        <v>80.0</v>
      </c>
      <c r="H13" s="10">
        <v>8.1</v>
      </c>
      <c r="I13" s="11">
        <v>1.0</v>
      </c>
      <c r="J13" s="11">
        <v>0.0</v>
      </c>
      <c r="K13" s="11">
        <v>4.0</v>
      </c>
      <c r="L13" s="11">
        <v>4.0</v>
      </c>
      <c r="M13" s="8" t="s">
        <v>22</v>
      </c>
      <c r="N13" s="8"/>
      <c r="O13" s="12"/>
    </row>
    <row r="14">
      <c r="A14" s="8" t="s">
        <v>47</v>
      </c>
      <c r="B14" s="8" t="s">
        <v>48</v>
      </c>
      <c r="C14" s="8" t="s">
        <v>19</v>
      </c>
      <c r="D14" s="8" t="s">
        <v>26</v>
      </c>
      <c r="E14" s="8" t="s">
        <v>31</v>
      </c>
      <c r="F14" s="9">
        <v>70.0</v>
      </c>
      <c r="G14" s="9">
        <v>68.0</v>
      </c>
      <c r="H14" s="10">
        <v>6.9</v>
      </c>
      <c r="I14" s="11">
        <v>0.0</v>
      </c>
      <c r="J14" s="11">
        <v>2.0</v>
      </c>
      <c r="K14" s="11">
        <v>2.0</v>
      </c>
      <c r="L14" s="11">
        <v>3.0</v>
      </c>
      <c r="M14" s="8" t="s">
        <v>22</v>
      </c>
      <c r="N14" s="13"/>
      <c r="O14" s="14"/>
    </row>
    <row r="15">
      <c r="A15" s="8" t="s">
        <v>49</v>
      </c>
      <c r="B15" s="8" t="s">
        <v>50</v>
      </c>
      <c r="C15" s="8" t="s">
        <v>25</v>
      </c>
      <c r="D15" s="8" t="s">
        <v>30</v>
      </c>
      <c r="E15" s="8" t="s">
        <v>21</v>
      </c>
      <c r="F15" s="9">
        <v>91.0</v>
      </c>
      <c r="G15" s="9">
        <v>89.0</v>
      </c>
      <c r="H15" s="10">
        <v>9.0</v>
      </c>
      <c r="I15" s="11">
        <v>2.0</v>
      </c>
      <c r="J15" s="11">
        <v>0.0</v>
      </c>
      <c r="K15" s="11">
        <v>5.0</v>
      </c>
      <c r="L15" s="11">
        <v>4.0</v>
      </c>
      <c r="M15" s="8" t="s">
        <v>22</v>
      </c>
      <c r="N15" s="8"/>
      <c r="O15" s="12"/>
    </row>
    <row r="16">
      <c r="A16" s="8" t="s">
        <v>51</v>
      </c>
      <c r="B16" s="8" t="s">
        <v>52</v>
      </c>
      <c r="C16" s="8" t="s">
        <v>19</v>
      </c>
      <c r="D16" s="8" t="s">
        <v>53</v>
      </c>
      <c r="E16" s="8" t="s">
        <v>38</v>
      </c>
      <c r="F16" s="9">
        <v>84.0</v>
      </c>
      <c r="G16" s="9">
        <v>82.0</v>
      </c>
      <c r="H16" s="10">
        <v>8.3</v>
      </c>
      <c r="I16" s="11">
        <v>1.0</v>
      </c>
      <c r="J16" s="11">
        <v>0.0</v>
      </c>
      <c r="K16" s="11">
        <v>4.0</v>
      </c>
      <c r="L16" s="11">
        <v>4.0</v>
      </c>
      <c r="M16" s="8" t="s">
        <v>22</v>
      </c>
      <c r="N16" s="8"/>
      <c r="O16" s="12"/>
    </row>
    <row r="17">
      <c r="A17" s="8" t="s">
        <v>54</v>
      </c>
      <c r="B17" s="8" t="s">
        <v>55</v>
      </c>
      <c r="C17" s="8" t="s">
        <v>25</v>
      </c>
      <c r="D17" s="8" t="s">
        <v>41</v>
      </c>
      <c r="E17" s="8" t="s">
        <v>42</v>
      </c>
      <c r="F17" s="9">
        <v>78.0</v>
      </c>
      <c r="G17" s="9">
        <v>76.0</v>
      </c>
      <c r="H17" s="10">
        <v>7.7</v>
      </c>
      <c r="I17" s="11">
        <v>0.0</v>
      </c>
      <c r="J17" s="11">
        <v>1.0</v>
      </c>
      <c r="K17" s="11">
        <v>3.0</v>
      </c>
      <c r="L17" s="11">
        <v>3.0</v>
      </c>
      <c r="M17" s="8" t="s">
        <v>22</v>
      </c>
      <c r="N17" s="13"/>
      <c r="O17" s="14"/>
    </row>
    <row r="18">
      <c r="A18" s="8" t="s">
        <v>56</v>
      </c>
      <c r="B18" s="8" t="s">
        <v>57</v>
      </c>
      <c r="C18" s="8" t="s">
        <v>19</v>
      </c>
      <c r="D18" s="8" t="s">
        <v>37</v>
      </c>
      <c r="E18" s="8" t="s">
        <v>27</v>
      </c>
      <c r="F18" s="9">
        <v>87.0</v>
      </c>
      <c r="G18" s="9">
        <v>85.0</v>
      </c>
      <c r="H18" s="10">
        <v>8.6</v>
      </c>
      <c r="I18" s="11">
        <v>1.0</v>
      </c>
      <c r="J18" s="11">
        <v>0.0</v>
      </c>
      <c r="K18" s="11">
        <v>4.0</v>
      </c>
      <c r="L18" s="11">
        <v>5.0</v>
      </c>
      <c r="M18" s="8" t="s">
        <v>22</v>
      </c>
      <c r="N18" s="8"/>
      <c r="O18" s="12"/>
    </row>
    <row r="19">
      <c r="A19" s="8" t="s">
        <v>58</v>
      </c>
      <c r="B19" s="8" t="s">
        <v>59</v>
      </c>
      <c r="C19" s="8" t="s">
        <v>25</v>
      </c>
      <c r="D19" s="8" t="s">
        <v>60</v>
      </c>
      <c r="E19" s="8" t="s">
        <v>31</v>
      </c>
      <c r="F19" s="9">
        <v>83.0</v>
      </c>
      <c r="G19" s="9">
        <v>81.0</v>
      </c>
      <c r="H19" s="10">
        <v>8.2</v>
      </c>
      <c r="I19" s="11">
        <v>1.0</v>
      </c>
      <c r="J19" s="11">
        <v>0.0</v>
      </c>
      <c r="K19" s="11">
        <v>4.0</v>
      </c>
      <c r="L19" s="11">
        <v>4.0</v>
      </c>
      <c r="M19" s="8" t="s">
        <v>22</v>
      </c>
      <c r="N19" s="8"/>
      <c r="O19" s="12"/>
    </row>
    <row r="20">
      <c r="A20" s="8" t="s">
        <v>61</v>
      </c>
      <c r="B20" s="8" t="s">
        <v>62</v>
      </c>
      <c r="C20" s="8" t="s">
        <v>19</v>
      </c>
      <c r="D20" s="8" t="s">
        <v>63</v>
      </c>
      <c r="E20" s="8" t="s">
        <v>21</v>
      </c>
      <c r="F20" s="9">
        <v>76.0</v>
      </c>
      <c r="G20" s="9">
        <v>74.0</v>
      </c>
      <c r="H20" s="10">
        <v>7.4</v>
      </c>
      <c r="I20" s="11">
        <v>0.0</v>
      </c>
      <c r="J20" s="11">
        <v>1.0</v>
      </c>
      <c r="K20" s="11">
        <v>3.0</v>
      </c>
      <c r="L20" s="11">
        <v>3.0</v>
      </c>
      <c r="M20" s="8" t="s">
        <v>22</v>
      </c>
      <c r="N20" s="13"/>
      <c r="O20" s="14"/>
    </row>
    <row r="21">
      <c r="A21" s="8" t="s">
        <v>64</v>
      </c>
      <c r="B21" s="8" t="s">
        <v>65</v>
      </c>
      <c r="C21" s="8" t="s">
        <v>25</v>
      </c>
      <c r="D21" s="8" t="s">
        <v>66</v>
      </c>
      <c r="E21" s="8" t="s">
        <v>38</v>
      </c>
      <c r="F21" s="9">
        <v>88.0</v>
      </c>
      <c r="G21" s="9">
        <v>86.0</v>
      </c>
      <c r="H21" s="10">
        <v>8.7</v>
      </c>
      <c r="I21" s="11">
        <v>1.0</v>
      </c>
      <c r="J21" s="11">
        <v>0.0</v>
      </c>
      <c r="K21" s="11">
        <v>4.0</v>
      </c>
      <c r="L21" s="11">
        <v>4.0</v>
      </c>
      <c r="M21" s="8" t="s">
        <v>22</v>
      </c>
      <c r="N21" s="8"/>
      <c r="O21" s="12"/>
    </row>
    <row r="22">
      <c r="A22" s="8" t="s">
        <v>67</v>
      </c>
      <c r="B22" s="8" t="s">
        <v>68</v>
      </c>
      <c r="C22" s="8" t="s">
        <v>19</v>
      </c>
      <c r="D22" s="8" t="s">
        <v>69</v>
      </c>
      <c r="E22" s="8" t="s">
        <v>42</v>
      </c>
      <c r="F22" s="9">
        <v>81.0</v>
      </c>
      <c r="G22" s="9">
        <v>79.0</v>
      </c>
      <c r="H22" s="10">
        <v>8.0</v>
      </c>
      <c r="I22" s="11">
        <v>1.0</v>
      </c>
      <c r="J22" s="11">
        <v>0.0</v>
      </c>
      <c r="K22" s="11">
        <v>3.0</v>
      </c>
      <c r="L22" s="11">
        <v>4.0</v>
      </c>
      <c r="M22" s="8" t="s">
        <v>22</v>
      </c>
      <c r="N22" s="8"/>
      <c r="O22" s="12"/>
    </row>
    <row r="23">
      <c r="A23" s="8" t="s">
        <v>70</v>
      </c>
      <c r="B23" s="8" t="s">
        <v>71</v>
      </c>
      <c r="C23" s="8" t="s">
        <v>25</v>
      </c>
      <c r="D23" s="8" t="s">
        <v>26</v>
      </c>
      <c r="E23" s="8" t="s">
        <v>27</v>
      </c>
      <c r="F23" s="9">
        <v>93.0</v>
      </c>
      <c r="G23" s="9">
        <v>91.0</v>
      </c>
      <c r="H23" s="10">
        <v>9.2</v>
      </c>
      <c r="I23" s="11">
        <v>2.0</v>
      </c>
      <c r="J23" s="11">
        <v>0.0</v>
      </c>
      <c r="K23" s="11">
        <v>5.0</v>
      </c>
      <c r="L23" s="11">
        <v>5.0</v>
      </c>
      <c r="M23" s="8" t="s">
        <v>22</v>
      </c>
      <c r="N23" s="8"/>
      <c r="O23" s="12"/>
    </row>
    <row r="24">
      <c r="A24" s="8" t="s">
        <v>72</v>
      </c>
      <c r="B24" s="8" t="s">
        <v>73</v>
      </c>
      <c r="C24" s="8" t="s">
        <v>19</v>
      </c>
      <c r="D24" s="8" t="s">
        <v>30</v>
      </c>
      <c r="E24" s="8" t="s">
        <v>21</v>
      </c>
      <c r="F24" s="9">
        <v>86.0</v>
      </c>
      <c r="G24" s="9">
        <v>84.0</v>
      </c>
      <c r="H24" s="10">
        <v>8.5</v>
      </c>
      <c r="I24" s="11">
        <v>1.0</v>
      </c>
      <c r="J24" s="11">
        <v>0.0</v>
      </c>
      <c r="K24" s="11">
        <v>4.0</v>
      </c>
      <c r="L24" s="11">
        <v>4.0</v>
      </c>
      <c r="M24" s="8" t="s">
        <v>22</v>
      </c>
      <c r="N24" s="8"/>
      <c r="O24" s="12"/>
    </row>
    <row r="25">
      <c r="A25" s="8" t="s">
        <v>74</v>
      </c>
      <c r="B25" s="8" t="s">
        <v>75</v>
      </c>
      <c r="C25" s="8" t="s">
        <v>25</v>
      </c>
      <c r="D25" s="8" t="s">
        <v>20</v>
      </c>
      <c r="E25" s="8" t="s">
        <v>31</v>
      </c>
      <c r="F25" s="9">
        <v>79.0</v>
      </c>
      <c r="G25" s="9">
        <v>77.0</v>
      </c>
      <c r="H25" s="10">
        <v>7.8</v>
      </c>
      <c r="I25" s="11">
        <v>0.0</v>
      </c>
      <c r="J25" s="11">
        <v>0.0</v>
      </c>
      <c r="K25" s="11">
        <v>3.0</v>
      </c>
      <c r="L25" s="11">
        <v>3.0</v>
      </c>
      <c r="M25" s="8" t="s">
        <v>22</v>
      </c>
      <c r="N25" s="13"/>
      <c r="O25" s="14"/>
    </row>
    <row r="26">
      <c r="A26" s="8" t="s">
        <v>76</v>
      </c>
      <c r="B26" s="8" t="s">
        <v>77</v>
      </c>
      <c r="C26" s="8" t="s">
        <v>19</v>
      </c>
      <c r="D26" s="8" t="s">
        <v>66</v>
      </c>
      <c r="E26" s="8" t="s">
        <v>38</v>
      </c>
      <c r="F26" s="9">
        <v>85.0</v>
      </c>
      <c r="G26" s="9">
        <v>83.0</v>
      </c>
      <c r="H26" s="10">
        <v>8.4</v>
      </c>
      <c r="I26" s="11">
        <v>1.0</v>
      </c>
      <c r="J26" s="11">
        <v>0.0</v>
      </c>
      <c r="K26" s="11">
        <v>4.0</v>
      </c>
      <c r="L26" s="11">
        <v>4.0</v>
      </c>
      <c r="M26" s="8" t="s">
        <v>22</v>
      </c>
      <c r="N26" s="8"/>
      <c r="O26" s="12"/>
    </row>
    <row r="27">
      <c r="A27" s="8" t="s">
        <v>78</v>
      </c>
      <c r="B27" s="8" t="s">
        <v>79</v>
      </c>
      <c r="C27" s="8" t="s">
        <v>25</v>
      </c>
      <c r="D27" s="8" t="s">
        <v>34</v>
      </c>
      <c r="E27" s="8" t="s">
        <v>42</v>
      </c>
      <c r="F27" s="9">
        <v>90.0</v>
      </c>
      <c r="G27" s="9">
        <v>88.0</v>
      </c>
      <c r="H27" s="10">
        <v>8.9</v>
      </c>
      <c r="I27" s="11">
        <v>1.0</v>
      </c>
      <c r="J27" s="11">
        <v>0.0</v>
      </c>
      <c r="K27" s="11">
        <v>4.0</v>
      </c>
      <c r="L27" s="11">
        <v>4.0</v>
      </c>
      <c r="M27" s="8" t="s">
        <v>22</v>
      </c>
      <c r="N27" s="8"/>
      <c r="O27" s="12"/>
    </row>
    <row r="28">
      <c r="A28" s="8" t="s">
        <v>80</v>
      </c>
      <c r="B28" s="8" t="s">
        <v>81</v>
      </c>
      <c r="C28" s="8" t="s">
        <v>19</v>
      </c>
      <c r="D28" s="8" t="s">
        <v>26</v>
      </c>
      <c r="E28" s="8" t="s">
        <v>21</v>
      </c>
      <c r="F28" s="9">
        <v>72.0</v>
      </c>
      <c r="G28" s="9">
        <v>70.0</v>
      </c>
      <c r="H28" s="10">
        <v>7.1</v>
      </c>
      <c r="I28" s="11">
        <v>0.0</v>
      </c>
      <c r="J28" s="11">
        <v>2.0</v>
      </c>
      <c r="K28" s="11">
        <v>2.0</v>
      </c>
      <c r="L28" s="11">
        <v>3.0</v>
      </c>
      <c r="M28" s="8" t="s">
        <v>22</v>
      </c>
      <c r="N28" s="13"/>
      <c r="O28" s="14"/>
    </row>
    <row r="29">
      <c r="A29" s="8" t="s">
        <v>82</v>
      </c>
      <c r="B29" s="8" t="s">
        <v>83</v>
      </c>
      <c r="C29" s="8" t="s">
        <v>25</v>
      </c>
      <c r="D29" s="8" t="s">
        <v>63</v>
      </c>
      <c r="E29" s="8" t="s">
        <v>27</v>
      </c>
      <c r="F29" s="9">
        <v>89.0</v>
      </c>
      <c r="G29" s="9">
        <v>87.0</v>
      </c>
      <c r="H29" s="10">
        <v>8.8</v>
      </c>
      <c r="I29" s="11">
        <v>1.0</v>
      </c>
      <c r="J29" s="11">
        <v>0.0</v>
      </c>
      <c r="K29" s="11">
        <v>4.0</v>
      </c>
      <c r="L29" s="11">
        <v>5.0</v>
      </c>
      <c r="M29" s="8" t="s">
        <v>22</v>
      </c>
      <c r="N29" s="8"/>
      <c r="O29" s="12"/>
    </row>
    <row r="30">
      <c r="A30" s="8" t="s">
        <v>84</v>
      </c>
      <c r="B30" s="8" t="s">
        <v>85</v>
      </c>
      <c r="C30" s="8" t="s">
        <v>19</v>
      </c>
      <c r="D30" s="8" t="s">
        <v>86</v>
      </c>
      <c r="E30" s="8" t="s">
        <v>31</v>
      </c>
      <c r="F30" s="9">
        <v>84.0</v>
      </c>
      <c r="G30" s="9">
        <v>82.0</v>
      </c>
      <c r="H30" s="10">
        <v>8.3</v>
      </c>
      <c r="I30" s="11">
        <v>1.0</v>
      </c>
      <c r="J30" s="11">
        <v>0.0</v>
      </c>
      <c r="K30" s="11">
        <v>4.0</v>
      </c>
      <c r="L30" s="11">
        <v>4.0</v>
      </c>
      <c r="M30" s="8" t="s">
        <v>22</v>
      </c>
      <c r="N30" s="8"/>
      <c r="O30" s="12"/>
    </row>
    <row r="31">
      <c r="A31" s="8" t="s">
        <v>87</v>
      </c>
      <c r="B31" s="8" t="s">
        <v>88</v>
      </c>
      <c r="C31" s="8" t="s">
        <v>25</v>
      </c>
      <c r="D31" s="8" t="s">
        <v>37</v>
      </c>
      <c r="E31" s="8" t="s">
        <v>21</v>
      </c>
      <c r="F31" s="9">
        <v>94.0</v>
      </c>
      <c r="G31" s="9">
        <v>92.0</v>
      </c>
      <c r="H31" s="10">
        <v>9.4</v>
      </c>
      <c r="I31" s="11">
        <v>2.0</v>
      </c>
      <c r="J31" s="11">
        <v>0.0</v>
      </c>
      <c r="K31" s="11">
        <v>5.0</v>
      </c>
      <c r="L31" s="11">
        <v>5.0</v>
      </c>
      <c r="M31" s="8" t="s">
        <v>22</v>
      </c>
      <c r="N31" s="8"/>
      <c r="O31" s="12"/>
    </row>
    <row r="32">
      <c r="A32" s="8" t="s">
        <v>89</v>
      </c>
      <c r="B32" s="8" t="s">
        <v>90</v>
      </c>
      <c r="C32" s="8" t="s">
        <v>19</v>
      </c>
      <c r="D32" s="8" t="s">
        <v>30</v>
      </c>
      <c r="E32" s="8" t="s">
        <v>38</v>
      </c>
      <c r="F32" s="9">
        <v>77.0</v>
      </c>
      <c r="G32" s="9">
        <v>75.0</v>
      </c>
      <c r="H32" s="10">
        <v>7.6</v>
      </c>
      <c r="I32" s="11">
        <v>0.0</v>
      </c>
      <c r="J32" s="11">
        <v>1.0</v>
      </c>
      <c r="K32" s="11">
        <v>3.0</v>
      </c>
      <c r="L32" s="11">
        <v>3.0</v>
      </c>
      <c r="M32" s="8" t="s">
        <v>22</v>
      </c>
      <c r="N32" s="13"/>
      <c r="O32" s="14"/>
    </row>
    <row r="33">
      <c r="A33" s="8" t="s">
        <v>91</v>
      </c>
      <c r="B33" s="8" t="s">
        <v>92</v>
      </c>
      <c r="C33" s="8" t="s">
        <v>25</v>
      </c>
      <c r="D33" s="8" t="s">
        <v>20</v>
      </c>
      <c r="E33" s="8" t="s">
        <v>42</v>
      </c>
      <c r="F33" s="9">
        <v>82.0</v>
      </c>
      <c r="G33" s="9">
        <v>80.0</v>
      </c>
      <c r="H33" s="10">
        <v>8.1</v>
      </c>
      <c r="I33" s="11">
        <v>1.0</v>
      </c>
      <c r="J33" s="11">
        <v>0.0</v>
      </c>
      <c r="K33" s="11">
        <v>4.0</v>
      </c>
      <c r="L33" s="11">
        <v>3.0</v>
      </c>
      <c r="M33" s="8" t="s">
        <v>22</v>
      </c>
      <c r="N33" s="8"/>
      <c r="O33" s="12"/>
    </row>
    <row r="34">
      <c r="A34" s="8" t="s">
        <v>93</v>
      </c>
      <c r="B34" s="8" t="s">
        <v>94</v>
      </c>
      <c r="C34" s="8" t="s">
        <v>19</v>
      </c>
      <c r="D34" s="8" t="s">
        <v>41</v>
      </c>
      <c r="E34" s="8" t="s">
        <v>27</v>
      </c>
      <c r="F34" s="9">
        <v>88.0</v>
      </c>
      <c r="G34" s="9">
        <v>86.0</v>
      </c>
      <c r="H34" s="10">
        <v>8.7</v>
      </c>
      <c r="I34" s="11">
        <v>1.0</v>
      </c>
      <c r="J34" s="11">
        <v>0.0</v>
      </c>
      <c r="K34" s="11">
        <v>4.0</v>
      </c>
      <c r="L34" s="11">
        <v>4.0</v>
      </c>
      <c r="M34" s="8" t="s">
        <v>22</v>
      </c>
      <c r="N34" s="8"/>
      <c r="O34" s="12"/>
    </row>
    <row r="35">
      <c r="A35" s="8" t="s">
        <v>95</v>
      </c>
      <c r="B35" s="8" t="s">
        <v>96</v>
      </c>
      <c r="C35" s="8" t="s">
        <v>25</v>
      </c>
      <c r="D35" s="8" t="s">
        <v>86</v>
      </c>
      <c r="E35" s="8" t="s">
        <v>21</v>
      </c>
      <c r="F35" s="9">
        <v>80.0</v>
      </c>
      <c r="G35" s="9">
        <v>78.0</v>
      </c>
      <c r="H35" s="10">
        <v>7.9</v>
      </c>
      <c r="I35" s="11">
        <v>1.0</v>
      </c>
      <c r="J35" s="11">
        <v>0.0</v>
      </c>
      <c r="K35" s="11">
        <v>3.0</v>
      </c>
      <c r="L35" s="11">
        <v>4.0</v>
      </c>
      <c r="M35" s="8" t="s">
        <v>22</v>
      </c>
      <c r="N35" s="8"/>
      <c r="O35" s="12"/>
    </row>
  </sheetData>
  <mergeCells count="1">
    <mergeCell ref="A1:D1"/>
  </mergeCells>
  <drawing r:id="rId1"/>
  <tableParts count="1">
    <tablePart r:id="rId3"/>
  </tableParts>
</worksheet>
</file>